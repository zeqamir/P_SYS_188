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70dji\Desktop\GitHub\P_SYS_188\"/>
    </mc:Choice>
  </mc:AlternateContent>
  <xr:revisionPtr revIDLastSave="0" documentId="13_ncr:1_{53684167-F6C0-44F4-84D0-895CBE5B8E3E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<sst xmlns="http://schemas.openxmlformats.org/spreadsheetml/2006/main" count="192" uniqueCount="55">
  <si>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</si>
  <si>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</si>
  <si>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</si>
  <si>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</si>
  <si>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</si>
  <si>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</si>
  <si>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</si>
  <si>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</si>
  <si>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</si>
  <si>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</si>
  <si>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</si>
  <si>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</si>
  <si>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</si>
  <si>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</si>
  <si>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</si>
  <si>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</si>
  <si>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</si>
  <si>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</si>
  <si>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</si>
  <si>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</si>
  <si>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</si>
  <si>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</si>
  <si>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</si>
  <si>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Amir Zeqiri</t>
  </si>
  <si>
    <t>Module / Projet :</t>
  </si>
  <si>
    <t>CIN2B</t>
  </si>
  <si>
    <t>ETML, Vennes</t>
  </si>
  <si>
    <t>SYS_188</t>
  </si>
  <si>
    <t>Max. 9</t>
  </si>
  <si>
    <t>STOP</t>
  </si>
  <si>
    <t>Initialisation du projet</t>
  </si>
  <si>
    <t>Planification</t>
  </si>
  <si>
    <t>Lecture et compréhension du cahier des charges, Création du repos GitHub, Création de la planification et du journal de travail, Création du rapport</t>
  </si>
  <si>
    <t>Installation du premier serveur</t>
  </si>
  <si>
    <t>Configuration du deuxième serveur</t>
  </si>
  <si>
    <t>Contrôleur de domaine</t>
  </si>
  <si>
    <t>Configuration du premier serveur</t>
  </si>
  <si>
    <t>Installation du deuxième serveur</t>
  </si>
  <si>
    <t>Configuration Active Directory</t>
  </si>
  <si>
    <t>Deux groupes (vente et production), deux employés dans chaque groupe</t>
  </si>
  <si>
    <t>Mise en place d'un failover</t>
  </si>
  <si>
    <t>Failover entre les deux serveurs, simuler des pannes et surveiller les échanges d'informations entre les deux serveurs</t>
  </si>
  <si>
    <t>Surveillance des performances</t>
  </si>
  <si>
    <t xml:space="preserve">Mesure précise du nombre de requêtes DNS effectuées. </t>
  </si>
  <si>
    <t>Mesure de la mémoire (RAM) utilisée avec une alerte configurée si plus de 80% de la RAM est consommée.</t>
  </si>
  <si>
    <t>Surveillance des services</t>
  </si>
  <si>
    <t xml:space="preserve">Démo de la capacité à surveiller les services DNS et DHCP </t>
  </si>
  <si>
    <t>Proposition d’outils disponible sur le marché et comparaison avec les outils natifs de Windows Server (avec utilisation du moniteur de performance « perfmon »).</t>
  </si>
  <si>
    <t>Installation du troisième serveur</t>
  </si>
  <si>
    <t>Installation VM Windows Server 2022 Bureau</t>
  </si>
  <si>
    <t>Installation VM Windows Server 2022 Core</t>
  </si>
  <si>
    <t>Configuration du troisième serveur</t>
  </si>
  <si>
    <t>Pilotage et monitoring des deux serveurs Core</t>
  </si>
  <si>
    <t>Configuration du duexième serveur</t>
  </si>
  <si>
    <t>Outils du marché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</si>
</sst>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8992ACB1-DB07-4287-A03B-F94F8348D2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D237178E-2300-4A50-82A9-F1165DBFA3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N73"/>
  <sheetViews>
    <sheetView view="pageBreakPreview" topLeftCell="B1" zoomScaleNormal="100" zoomScaleSheetLayoutView="100" workbookViewId="0">
      <selection activeCell="F19" sqref="F1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24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23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45670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45730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4" x14ac:dyDescent="0.25">
      <c r="A17" s="78"/>
      <c r="B17" s="56"/>
      <c r="C17" s="56"/>
      <c r="D17" s="56"/>
      <c r="E17" s="56"/>
      <c r="F17" s="56"/>
      <c r="G17" s="57"/>
    </row>
    <row r="18" spans="1:14" ht="14.25" thickBot="1" x14ac:dyDescent="0.3">
      <c r="A18" s="79"/>
      <c r="B18" s="60"/>
      <c r="C18" s="60"/>
      <c r="D18" s="60"/>
      <c r="E18" s="60"/>
      <c r="F18" s="60"/>
      <c r="G18" s="61"/>
    </row>
    <row r="19" spans="1:14" ht="21" thickBot="1" x14ac:dyDescent="0.3">
      <c r="A19" s="79"/>
      <c r="B19" s="89" t="s">
        <v>18</v>
      </c>
      <c r="C19" s="90"/>
      <c r="D19" s="60"/>
      <c r="E19" s="60"/>
      <c r="F19" s="60"/>
      <c r="G19" s="61"/>
    </row>
    <row r="20" spans="1:14" ht="20.25" x14ac:dyDescent="0.25">
      <c r="A20" s="79"/>
      <c r="B20" s="80" t="s">
        <v>19</v>
      </c>
      <c r="C20" s="81" t="s">
        <v>20</v>
      </c>
      <c r="D20" s="60"/>
      <c r="E20" s="60"/>
      <c r="F20" s="60"/>
      <c r="G20" s="61"/>
    </row>
    <row r="21" spans="1:14" ht="20.25" x14ac:dyDescent="0.25">
      <c r="A21" s="79"/>
      <c r="B21" s="80">
        <v>1</v>
      </c>
      <c r="C21" s="70"/>
      <c r="D21" s="60"/>
      <c r="E21" s="60"/>
      <c r="F21" s="60"/>
      <c r="G21" s="61"/>
    </row>
    <row r="22" spans="1:14" ht="20.25" x14ac:dyDescent="0.25">
      <c r="A22" s="79"/>
      <c r="B22" s="80">
        <v>2</v>
      </c>
      <c r="C22" s="71"/>
      <c r="D22" s="60"/>
      <c r="E22" s="60"/>
      <c r="F22" s="60"/>
      <c r="G22" s="61"/>
      <c r="N22" s="88"/>
    </row>
    <row r="23" spans="1:14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4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4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4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4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4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4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4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4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4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91" t="s">
        <v>20</v>
      </c>
      <c r="C3" s="16">
        <v>0</v>
      </c>
    </row>
    <row r="4" spans="1:4" ht="19.5" customHeight="1" x14ac:dyDescent="0.25">
      <c r="A4" s="19"/>
      <c r="B4" s="92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E2C72-31D6-4CCE-8436-7DAD54D052F7}">
  <sheetPr codeName="Feuil5"/>
  <dimension ref="A1:I113"/>
  <sheetViews>
    <sheetView tabSelected="1" workbookViewId="0">
      <selection activeCell="C105" sqref="C10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ht="27" x14ac:dyDescent="0.25">
      <c r="A3" s="96" t="s">
        <v>30</v>
      </c>
      <c r="B3" s="4">
        <v>3</v>
      </c>
      <c r="C3" s="97" t="s">
        <v>32</v>
      </c>
      <c r="D3" s="9"/>
    </row>
    <row r="4" spans="1:4" s="53" customFormat="1" x14ac:dyDescent="0.25">
      <c r="A4" s="98" t="s">
        <v>31</v>
      </c>
      <c r="B4" s="2">
        <v>3</v>
      </c>
      <c r="C4" s="99"/>
      <c r="D4" s="10"/>
    </row>
    <row r="5" spans="1:4" s="53" customFormat="1" ht="27" x14ac:dyDescent="0.25">
      <c r="A5" s="98" t="s">
        <v>33</v>
      </c>
      <c r="B5" s="2">
        <v>3</v>
      </c>
      <c r="C5" s="99" t="s">
        <v>50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9</v>
      </c>
      <c r="C13" s="93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7"/>
    </row>
    <row r="16" spans="1:4" ht="27.75" thickBot="1" x14ac:dyDescent="0.3">
      <c r="A16" s="8" t="s">
        <v>2</v>
      </c>
      <c r="B16" s="18" t="s">
        <v>14</v>
      </c>
      <c r="C16" s="8" t="s">
        <v>6</v>
      </c>
      <c r="D16" s="8" t="s">
        <v>12</v>
      </c>
    </row>
    <row r="17" spans="1:9" ht="27" x14ac:dyDescent="0.25">
      <c r="A17" s="96" t="s">
        <v>37</v>
      </c>
      <c r="B17" s="4">
        <v>3</v>
      </c>
      <c r="C17" s="97" t="s">
        <v>50</v>
      </c>
      <c r="D17" s="9"/>
    </row>
    <row r="18" spans="1:9" ht="27" x14ac:dyDescent="0.25">
      <c r="A18" s="98" t="s">
        <v>36</v>
      </c>
      <c r="B18" s="2">
        <v>5</v>
      </c>
      <c r="C18" s="99" t="s">
        <v>35</v>
      </c>
      <c r="D18" s="10"/>
    </row>
    <row r="19" spans="1:9" ht="27" x14ac:dyDescent="0.25">
      <c r="A19" s="98" t="s">
        <v>34</v>
      </c>
      <c r="B19" s="2">
        <v>1</v>
      </c>
      <c r="C19" s="10" t="s">
        <v>35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21</v>
      </c>
      <c r="B27" s="12">
        <f>SUM(B17:B26)</f>
        <v>9</v>
      </c>
      <c r="C27" s="93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13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2</v>
      </c>
      <c r="B30" s="18" t="s">
        <v>14</v>
      </c>
      <c r="C30" s="8" t="s">
        <v>6</v>
      </c>
      <c r="D30" s="8" t="s">
        <v>12</v>
      </c>
      <c r="E30" s="20"/>
      <c r="F30" s="39"/>
      <c r="G30" s="40"/>
      <c r="H30" s="40"/>
      <c r="I30" s="20"/>
    </row>
    <row r="31" spans="1:9" ht="27" x14ac:dyDescent="0.3">
      <c r="A31" s="96" t="s">
        <v>53</v>
      </c>
      <c r="B31" s="4">
        <v>4</v>
      </c>
      <c r="C31" s="97" t="s">
        <v>35</v>
      </c>
      <c r="D31" s="9"/>
      <c r="E31" s="20"/>
      <c r="F31" s="41"/>
      <c r="G31" s="41"/>
      <c r="H31" s="41"/>
      <c r="I31" s="20"/>
    </row>
    <row r="32" spans="1:9" ht="27" x14ac:dyDescent="0.25">
      <c r="A32" s="98" t="s">
        <v>38</v>
      </c>
      <c r="B32" s="2">
        <v>5</v>
      </c>
      <c r="C32" s="99" t="s">
        <v>39</v>
      </c>
      <c r="D32" s="10"/>
      <c r="E32" s="20"/>
      <c r="F32" s="20"/>
      <c r="G32" s="20"/>
      <c r="H32" s="20"/>
      <c r="I32" s="20"/>
    </row>
    <row r="33" spans="1:9" x14ac:dyDescent="0.25">
      <c r="A33" s="98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98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21</v>
      </c>
      <c r="B41" s="12">
        <f>SUM(B31:B40)</f>
        <v>9</v>
      </c>
      <c r="C41" s="93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13</v>
      </c>
      <c r="B43" s="7">
        <v>4</v>
      </c>
      <c r="C43" s="17"/>
      <c r="D43" s="87"/>
    </row>
    <row r="44" spans="1:9" ht="27.75" thickBot="1" x14ac:dyDescent="0.3">
      <c r="A44" s="8" t="s">
        <v>2</v>
      </c>
      <c r="B44" s="18" t="s">
        <v>14</v>
      </c>
      <c r="C44" s="8" t="s">
        <v>6</v>
      </c>
      <c r="D44" s="8" t="s">
        <v>12</v>
      </c>
    </row>
    <row r="45" spans="1:9" ht="27" x14ac:dyDescent="0.25">
      <c r="A45" s="96" t="s">
        <v>40</v>
      </c>
      <c r="B45" s="4">
        <v>9</v>
      </c>
      <c r="C45" s="9" t="s">
        <v>41</v>
      </c>
      <c r="D45" s="9"/>
    </row>
    <row r="46" spans="1:9" x14ac:dyDescent="0.25">
      <c r="A46" s="98"/>
      <c r="B46" s="2"/>
      <c r="C46" s="99"/>
      <c r="D46" s="10"/>
    </row>
    <row r="47" spans="1:9" x14ac:dyDescent="0.25">
      <c r="A47" s="98"/>
      <c r="B47" s="2"/>
      <c r="C47" s="99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9</v>
      </c>
      <c r="C55" s="93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7"/>
    </row>
    <row r="58" spans="1:4" ht="27.75" thickBot="1" x14ac:dyDescent="0.3">
      <c r="A58" s="8" t="s">
        <v>2</v>
      </c>
      <c r="B58" s="18" t="s">
        <v>14</v>
      </c>
      <c r="C58" s="8" t="s">
        <v>6</v>
      </c>
      <c r="D58" s="8" t="s">
        <v>12</v>
      </c>
    </row>
    <row r="59" spans="1:4" ht="27" x14ac:dyDescent="0.25">
      <c r="A59" s="96" t="s">
        <v>42</v>
      </c>
      <c r="B59" s="4">
        <v>4</v>
      </c>
      <c r="C59" s="97" t="s">
        <v>43</v>
      </c>
      <c r="D59" s="9"/>
    </row>
    <row r="60" spans="1:4" ht="27" x14ac:dyDescent="0.25">
      <c r="A60" s="98" t="s">
        <v>42</v>
      </c>
      <c r="B60" s="2">
        <v>4</v>
      </c>
      <c r="C60" s="99" t="s">
        <v>44</v>
      </c>
      <c r="D60" s="10"/>
    </row>
    <row r="61" spans="1:4" ht="27" x14ac:dyDescent="0.25">
      <c r="A61" s="98" t="s">
        <v>45</v>
      </c>
      <c r="B61" s="2">
        <v>1</v>
      </c>
      <c r="C61" s="99" t="s">
        <v>46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99"/>
      <c r="D63" s="10"/>
    </row>
    <row r="64" spans="1:4" x14ac:dyDescent="0.25">
      <c r="A64" s="1"/>
      <c r="B64" s="2"/>
      <c r="C64" s="99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9</v>
      </c>
      <c r="C69" s="93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7"/>
    </row>
    <row r="72" spans="1:4" ht="27.75" thickBot="1" x14ac:dyDescent="0.3">
      <c r="A72" s="8" t="s">
        <v>2</v>
      </c>
      <c r="B72" s="18" t="s">
        <v>14</v>
      </c>
      <c r="C72" s="8" t="s">
        <v>6</v>
      </c>
      <c r="D72" s="8" t="s">
        <v>12</v>
      </c>
    </row>
    <row r="73" spans="1:4" ht="27" x14ac:dyDescent="0.25">
      <c r="A73" s="96" t="s">
        <v>45</v>
      </c>
      <c r="B73" s="4">
        <v>4</v>
      </c>
      <c r="C73" s="97" t="s">
        <v>46</v>
      </c>
      <c r="D73" s="9"/>
    </row>
    <row r="74" spans="1:4" ht="27" x14ac:dyDescent="0.25">
      <c r="A74" s="98" t="s">
        <v>54</v>
      </c>
      <c r="B74" s="2">
        <v>5</v>
      </c>
      <c r="C74" s="99" t="s">
        <v>47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99"/>
      <c r="D79" s="10"/>
    </row>
    <row r="80" spans="1:4" x14ac:dyDescent="0.25">
      <c r="A80" s="100"/>
      <c r="B80" s="2"/>
      <c r="C80" s="99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9</v>
      </c>
      <c r="C83" s="93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7"/>
    </row>
    <row r="86" spans="1:4" ht="27.75" thickBot="1" x14ac:dyDescent="0.3">
      <c r="A86" s="8" t="s">
        <v>2</v>
      </c>
      <c r="B86" s="18" t="s">
        <v>14</v>
      </c>
      <c r="C86" s="8" t="s">
        <v>6</v>
      </c>
      <c r="D86" s="8" t="s">
        <v>12</v>
      </c>
    </row>
    <row r="87" spans="1:4" ht="27" x14ac:dyDescent="0.25">
      <c r="A87" s="96" t="s">
        <v>54</v>
      </c>
      <c r="B87" s="4">
        <v>1</v>
      </c>
      <c r="C87" s="97" t="s">
        <v>47</v>
      </c>
      <c r="D87" s="9"/>
    </row>
    <row r="88" spans="1:4" ht="27" x14ac:dyDescent="0.25">
      <c r="A88" s="98" t="s">
        <v>48</v>
      </c>
      <c r="B88" s="2">
        <v>4</v>
      </c>
      <c r="C88" s="10" t="s">
        <v>49</v>
      </c>
      <c r="D88" s="10"/>
    </row>
    <row r="89" spans="1:4" ht="27" x14ac:dyDescent="0.25">
      <c r="A89" s="98" t="s">
        <v>51</v>
      </c>
      <c r="B89" s="2">
        <v>4</v>
      </c>
      <c r="C89" s="10" t="s">
        <v>52</v>
      </c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9</v>
      </c>
      <c r="C97" s="93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7"/>
    </row>
    <row r="100" spans="1:4" ht="27.75" thickBot="1" x14ac:dyDescent="0.3">
      <c r="A100" s="8" t="s">
        <v>2</v>
      </c>
      <c r="B100" s="18" t="s">
        <v>14</v>
      </c>
      <c r="C100" s="8" t="s">
        <v>6</v>
      </c>
      <c r="D100" s="8" t="s">
        <v>12</v>
      </c>
    </row>
    <row r="101" spans="1:4" ht="27" x14ac:dyDescent="0.25">
      <c r="A101" s="96" t="s">
        <v>51</v>
      </c>
      <c r="B101" s="4">
        <v>2</v>
      </c>
      <c r="C101" s="9" t="s">
        <v>52</v>
      </c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2</v>
      </c>
      <c r="C111" s="93" t="s">
        <v>28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94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B5E5AB0F-FF62-44B5-A721-3F4803A793C8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B18C071B-3D1C-4FFE-9921-F2233C09558E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C193BF96-9675-4CAB-A4D4-042F9787AC45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7BDBE400-D0A6-4621-8D1E-0C6222960EDB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2174F-D652-403D-9876-8ADD2726C5C2}">
  <sheetPr codeName="Feuil9"/>
  <dimension ref="A1:I153"/>
  <sheetViews>
    <sheetView workbookViewId="0">
      <selection activeCell="B2" sqref="B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45670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95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>
        <f>$D$1+7</f>
        <v>45677</v>
      </c>
    </row>
    <row r="21" spans="1:9" ht="27.75" thickBot="1" x14ac:dyDescent="0.3">
      <c r="A21" s="46" t="s">
        <v>2</v>
      </c>
      <c r="B21" s="47" t="s">
        <v>14</v>
      </c>
      <c r="C21" s="46" t="s">
        <v>6</v>
      </c>
      <c r="D21" s="46" t="s">
        <v>12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0</v>
      </c>
      <c r="C37" s="95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>
        <f>$D$20+7</f>
        <v>45684</v>
      </c>
      <c r="E39" s="20"/>
      <c r="F39" s="20"/>
      <c r="G39" s="20"/>
      <c r="H39" s="20"/>
      <c r="I39" s="20"/>
    </row>
    <row r="40" spans="1:9" ht="27.75" thickBot="1" x14ac:dyDescent="0.3">
      <c r="A40" s="46" t="s">
        <v>2</v>
      </c>
      <c r="B40" s="47" t="s">
        <v>14</v>
      </c>
      <c r="C40" s="46" t="s">
        <v>6</v>
      </c>
      <c r="D40" s="46" t="s">
        <v>12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0</v>
      </c>
      <c r="C56" s="95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>
        <f>$D$39+7</f>
        <v>45691</v>
      </c>
    </row>
    <row r="59" spans="1:4" ht="27.75" thickBot="1" x14ac:dyDescent="0.3">
      <c r="A59" s="46" t="s">
        <v>2</v>
      </c>
      <c r="B59" s="47" t="s">
        <v>14</v>
      </c>
      <c r="C59" s="46" t="s">
        <v>6</v>
      </c>
      <c r="D59" s="46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0</v>
      </c>
      <c r="C75" s="95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>
        <f>$D$58+7</f>
        <v>45698</v>
      </c>
    </row>
    <row r="78" spans="1:4" ht="27.75" thickBot="1" x14ac:dyDescent="0.3">
      <c r="A78" s="46" t="s">
        <v>2</v>
      </c>
      <c r="B78" s="47" t="s">
        <v>14</v>
      </c>
      <c r="C78" s="46" t="s">
        <v>6</v>
      </c>
      <c r="D78" s="46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0</v>
      </c>
      <c r="C94" s="95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>
        <f>$D$77+7</f>
        <v>45705</v>
      </c>
    </row>
    <row r="97" spans="1:4" ht="27.75" thickBot="1" x14ac:dyDescent="0.3">
      <c r="A97" s="46" t="s">
        <v>2</v>
      </c>
      <c r="B97" s="47" t="s">
        <v>14</v>
      </c>
      <c r="C97" s="46" t="s">
        <v>6</v>
      </c>
      <c r="D97" s="46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0</v>
      </c>
      <c r="C113" s="95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>
        <f>$D$96+7</f>
        <v>45712</v>
      </c>
    </row>
    <row r="116" spans="1:4" ht="27.75" thickBot="1" x14ac:dyDescent="0.3">
      <c r="A116" s="46" t="s">
        <v>2</v>
      </c>
      <c r="B116" s="47" t="s">
        <v>14</v>
      </c>
      <c r="C116" s="46" t="s">
        <v>6</v>
      </c>
      <c r="D116" s="46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0</v>
      </c>
      <c r="C132" s="95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>
        <f>$D$115+7</f>
        <v>45719</v>
      </c>
    </row>
    <row r="135" spans="1:4" ht="27.75" thickBot="1" x14ac:dyDescent="0.3">
      <c r="A135" s="46" t="s">
        <v>2</v>
      </c>
      <c r="B135" s="47" t="s">
        <v>14</v>
      </c>
      <c r="C135" s="46" t="s">
        <v>6</v>
      </c>
      <c r="D135" s="46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21</v>
      </c>
      <c r="B151" s="48">
        <f>SUM(B136:B150)</f>
        <v>0</v>
      </c>
      <c r="C151" s="95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94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6CDBA5D-A6F8-4CE6-841A-FE6E627F8BF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CA35F160-3BDE-4851-86D9-7F27DB658294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1E5EAB0F-13EE-4BE3-8C7A-CF585114C063}">
      <formula1>0</formula1>
      <formula2>NbPerWeek * NbQuartPer</formula2>
    </dataValidation>
    <dataValidation type="list" allowBlank="1" showInputMessage="1" showErrorMessage="1" sqref="A3:A17 A22:A36 A41:A55 A60:A74 A79:A93 A98:A112 A117:A131 A136:A150" xr:uid="{18830CD1-6F61-40A1-A420-EABF408841A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2025-01-13T14:03:27Z</dcterms:modified>
</cp:coreProperties>
</file>